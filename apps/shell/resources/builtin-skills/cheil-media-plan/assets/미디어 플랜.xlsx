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디어 플랜" sheetId="1" state="visible" r:id="rId1"/>
    <sheet xmlns:r="http://schemas.openxmlformats.org/officeDocument/2006/relationships" name="가정·출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1A1A1A"/>
      <sz val="14"/>
    </font>
    <font>
      <name val="맑은 고딕"/>
      <color rgb="005A5F66"/>
      <sz val="9"/>
    </font>
    <font>
      <name val="맑은 고딕"/>
      <b val="1"/>
      <color rgb="000B3D91"/>
      <sz val="12"/>
    </font>
    <font>
      <name val="맑은 고딕"/>
      <b val="1"/>
      <color rgb="001A1A1A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sz val="13"/>
    </font>
  </fonts>
  <fills count="5">
    <fill>
      <patternFill/>
    </fill>
    <fill>
      <patternFill patternType="gray125"/>
    </fill>
    <fill>
      <patternFill patternType="solid">
        <fgColor rgb="00EEF2F8"/>
      </patternFill>
    </fill>
    <fill>
      <patternFill patternType="solid">
        <fgColor rgb="000B3D91"/>
      </patternFill>
    </fill>
    <fill>
      <patternFill patternType="solid">
        <fgColor rgb="00F4F5F7"/>
      </patternFill>
    </fill>
  </fills>
  <borders count="6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  <border>
      <left/>
      <right/>
      <top style="thin">
        <color rgb="00D5D9E0"/>
      </top>
      <bottom/>
      <diagonal/>
    </border>
    <border>
      <left/>
      <right style="thin">
        <color rgb="00D5D9E0"/>
      </right>
      <top style="thin">
        <color rgb="00D5D9E0"/>
      </top>
      <bottom/>
      <diagonal/>
    </border>
    <border>
      <left/>
      <right/>
      <top style="thin">
        <color rgb="00D5D9E0"/>
      </top>
      <bottom style="thin">
        <color rgb="00D5D9E0"/>
      </bottom>
      <diagonal/>
    </border>
    <border>
      <left/>
      <right style="thin">
        <color rgb="00D5D9E0"/>
      </right>
      <top style="thin">
        <color rgb="00D5D9E0"/>
      </top>
      <bottom style="thin">
        <color rgb="00D5D9E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3" fontId="5" fillId="4" borderId="1" pivotButton="0" quotePrefix="0" xfId="0"/>
    <xf numFmtId="10" fontId="5" fillId="4" borderId="1" pivotButton="0" quotePrefix="0" xfId="0"/>
    <xf numFmtId="165" fontId="5" fillId="4" borderId="1" pivotButton="0" quotePrefix="0" xfId="0"/>
    <xf numFmtId="0" fontId="7" fillId="4" borderId="1" pivotButton="0" quotePrefix="0" xfId="0"/>
    <xf numFmtId="3" fontId="7" fillId="4" borderId="1" pivotButton="0" quotePrefix="0" xfId="0"/>
    <xf numFmtId="10" fontId="7" fillId="4" borderId="1" pivotButton="0" quotePrefix="0" xfId="0"/>
    <xf numFmtId="165" fontId="7" fillId="4" borderId="1" pivotButton="0" quotePrefix="0" xfId="0"/>
    <xf numFmtId="0" fontId="6" fillId="3" borderId="1" applyAlignment="1" pivotButton="0" quotePrefix="0" xfId="0">
      <alignment horizontal="center"/>
    </xf>
    <xf numFmtId="0" fontId="8" fillId="0" borderId="0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22" customWidth="1" min="15" max="15"/>
  </cols>
  <sheetData>
    <row r="1" ht="26" customHeight="1">
      <c r="A1" s="1" t="inlineStr">
        <is>
          <t>[광고주] [캠페인명] 미디어 플랜</t>
        </is>
      </c>
    </row>
    <row r="2">
      <c r="A2" s="2" t="inlineStr">
        <is>
          <t>작성 [작성일] · [팀명] · 숫자는 매체 견적·합의 자료 기준(출처는 '가정·출처' 시트)</t>
        </is>
      </c>
    </row>
    <row r="4">
      <c r="A4" s="3" t="inlineStr">
        <is>
          <t>1. 캠페인 개요</t>
        </is>
      </c>
    </row>
    <row r="5" ht="30" customHeight="1">
      <c r="A5" s="4" t="inlineStr">
        <is>
          <t>브랜드·제품</t>
        </is>
      </c>
      <c r="B5" s="5" t="inlineStr">
        <is>
          <t>[브랜드·제품]</t>
        </is>
      </c>
      <c r="C5" s="6" t="n"/>
      <c r="D5" s="6" t="n"/>
      <c r="E5" s="6" t="n"/>
      <c r="G5" s="4" t="inlineStr">
        <is>
          <t>캠페인명</t>
        </is>
      </c>
      <c r="H5" s="5" t="inlineStr">
        <is>
          <t>[캠페인명]</t>
        </is>
      </c>
      <c r="I5" s="6" t="n"/>
      <c r="J5" s="6" t="n"/>
      <c r="K5" s="6" t="n"/>
      <c r="L5" s="6" t="n"/>
    </row>
    <row r="6" ht="30" customHeight="1">
      <c r="A6" s="4" t="inlineStr">
        <is>
          <t>배경 및 목적</t>
        </is>
      </c>
      <c r="B6" s="5" t="inlineStr">
        <is>
          <t>[배경 및 목적 — 이번 미디어 집행으로 이루려는 것]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30" customHeight="1">
      <c r="A7" s="4" t="inlineStr">
        <is>
          <t>Comm. 타깃</t>
        </is>
      </c>
      <c r="B7" s="5" t="inlineStr">
        <is>
          <t>[타깃]</t>
        </is>
      </c>
      <c r="C7" s="6" t="n"/>
      <c r="D7" s="6" t="n"/>
      <c r="E7" s="6" t="n"/>
      <c r="G7" s="4" t="inlineStr">
        <is>
          <t>캠페인 기간</t>
        </is>
      </c>
      <c r="H7" s="5" t="inlineStr">
        <is>
          <t>[캠페인 기간]</t>
        </is>
      </c>
      <c r="I7" s="6" t="n"/>
      <c r="J7" s="6" t="n"/>
      <c r="K7" s="6" t="n"/>
      <c r="L7" s="6" t="n"/>
    </row>
    <row r="8" ht="30" customHeight="1">
      <c r="A8" s="4" t="inlineStr">
        <is>
          <t>캠페인 목표</t>
        </is>
      </c>
      <c r="B8" s="5" t="inlineStr">
        <is>
          <t>[캠페인 목표 — 도달·조회·유입·전환 중 무엇, 비중]</t>
        </is>
      </c>
      <c r="C8" s="6" t="n"/>
      <c r="D8" s="6" t="n"/>
      <c r="E8" s="6" t="n"/>
      <c r="G8" s="4" t="inlineStr">
        <is>
          <t>캠페인 예산</t>
        </is>
      </c>
      <c r="H8" s="5" t="inlineStr">
        <is>
          <t>[총예산]</t>
        </is>
      </c>
      <c r="I8" s="6" t="n"/>
      <c r="J8" s="6" t="n"/>
      <c r="K8" s="6" t="n"/>
      <c r="L8" s="6" t="n"/>
    </row>
    <row r="9" ht="30" customHeight="1">
      <c r="A9" s="4" t="inlineStr">
        <is>
          <t>집행 매체</t>
        </is>
      </c>
      <c r="B9" s="5" t="inlineStr">
        <is>
          <t>[집행 매체 — 지상파·케이블·디지털·CTV·OOH·기타 중]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30" customHeight="1">
      <c r="A10" s="4" t="inlineStr">
        <is>
          <t>운영 소재</t>
        </is>
      </c>
      <c r="B10" s="5" t="inlineStr">
        <is>
          <t>[운영 소재 — 편 수·초수·형태(가로·세로·이미지)]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3" t="inlineStr">
        <is>
          <t>2. 매체별 집행 계획</t>
        </is>
      </c>
    </row>
    <row r="13">
      <c r="A13" s="7" t="inlineStr">
        <is>
          <t>구분</t>
        </is>
      </c>
      <c r="B13" s="7" t="inlineStr">
        <is>
          <t>매체</t>
        </is>
      </c>
      <c r="C13" s="7" t="inlineStr">
        <is>
          <t>상품·지면</t>
        </is>
      </c>
      <c r="D13" s="7" t="inlineStr">
        <is>
          <t>타깃팅</t>
        </is>
      </c>
      <c r="E13" s="7" t="inlineStr">
        <is>
          <t>시작일</t>
        </is>
      </c>
      <c r="F13" s="7" t="inlineStr">
        <is>
          <t>종료일</t>
        </is>
      </c>
      <c r="G13" s="7" t="inlineStr">
        <is>
          <t>예산(원)</t>
        </is>
      </c>
      <c r="H13" s="7" t="inlineStr">
        <is>
          <t>예상 노출</t>
        </is>
      </c>
      <c r="I13" s="7" t="inlineStr">
        <is>
          <t>예상 조회</t>
        </is>
      </c>
      <c r="J13" s="7" t="inlineStr">
        <is>
          <t>예상 클릭</t>
        </is>
      </c>
      <c r="K13" s="7" t="inlineStr">
        <is>
          <t>CPM(원)</t>
        </is>
      </c>
      <c r="L13" s="7" t="inlineStr">
        <is>
          <t>CPV(원)</t>
        </is>
      </c>
      <c r="M13" s="7" t="inlineStr">
        <is>
          <t>CTR</t>
        </is>
      </c>
      <c r="N13" s="7" t="inlineStr">
        <is>
          <t>예산 비중</t>
        </is>
      </c>
      <c r="O13" s="7" t="inlineStr">
        <is>
          <t>비고</t>
        </is>
      </c>
    </row>
    <row r="14">
      <c r="A14" s="8" t="n"/>
      <c r="B14" s="8" t="n"/>
      <c r="C14" s="8" t="n"/>
      <c r="D14" s="8" t="n"/>
      <c r="E14" s="9" t="n"/>
      <c r="F14" s="9" t="n"/>
      <c r="G14" s="10" t="n"/>
      <c r="H14" s="10" t="n"/>
      <c r="I14" s="10" t="n"/>
      <c r="J14" s="10" t="n"/>
      <c r="K14" s="11">
        <f>IF(OR(G14="",H14="",H14=0),"",G14/H14*1000)</f>
        <v/>
      </c>
      <c r="L14" s="11">
        <f>IF(OR(G14="",I14="",I14=0),"",G14/I14)</f>
        <v/>
      </c>
      <c r="M14" s="12">
        <f>IF(OR(H14="",J14="",H14=0),"",J14/H14)</f>
        <v/>
      </c>
      <c r="N14" s="13">
        <f>IF(OR(G14="",$G$26=0),"",G14/$G$26)</f>
        <v/>
      </c>
      <c r="O14" s="8" t="n"/>
    </row>
    <row r="15">
      <c r="A15" s="8" t="n"/>
      <c r="B15" s="8" t="n"/>
      <c r="C15" s="8" t="n"/>
      <c r="D15" s="8" t="n"/>
      <c r="E15" s="9" t="n"/>
      <c r="F15" s="9" t="n"/>
      <c r="G15" s="10" t="n"/>
      <c r="H15" s="10" t="n"/>
      <c r="I15" s="10" t="n"/>
      <c r="J15" s="10" t="n"/>
      <c r="K15" s="11">
        <f>IF(OR(G15="",H15="",H15=0),"",G15/H15*1000)</f>
        <v/>
      </c>
      <c r="L15" s="11">
        <f>IF(OR(G15="",I15="",I15=0),"",G15/I15)</f>
        <v/>
      </c>
      <c r="M15" s="12">
        <f>IF(OR(H15="",J15="",H15=0),"",J15/H15)</f>
        <v/>
      </c>
      <c r="N15" s="13">
        <f>IF(OR(G15="",$G$26=0),"",G15/$G$26)</f>
        <v/>
      </c>
      <c r="O15" s="8" t="n"/>
    </row>
    <row r="16">
      <c r="A16" s="8" t="n"/>
      <c r="B16" s="8" t="n"/>
      <c r="C16" s="8" t="n"/>
      <c r="D16" s="8" t="n"/>
      <c r="E16" s="9" t="n"/>
      <c r="F16" s="9" t="n"/>
      <c r="G16" s="10" t="n"/>
      <c r="H16" s="10" t="n"/>
      <c r="I16" s="10" t="n"/>
      <c r="J16" s="10" t="n"/>
      <c r="K16" s="11">
        <f>IF(OR(G16="",H16="",H16=0),"",G16/H16*1000)</f>
        <v/>
      </c>
      <c r="L16" s="11">
        <f>IF(OR(G16="",I16="",I16=0),"",G16/I16)</f>
        <v/>
      </c>
      <c r="M16" s="12">
        <f>IF(OR(H16="",J16="",H16=0),"",J16/H16)</f>
        <v/>
      </c>
      <c r="N16" s="13">
        <f>IF(OR(G16="",$G$26=0),"",G16/$G$26)</f>
        <v/>
      </c>
      <c r="O16" s="8" t="n"/>
    </row>
    <row r="17">
      <c r="A17" s="8" t="n"/>
      <c r="B17" s="8" t="n"/>
      <c r="C17" s="8" t="n"/>
      <c r="D17" s="8" t="n"/>
      <c r="E17" s="9" t="n"/>
      <c r="F17" s="9" t="n"/>
      <c r="G17" s="10" t="n"/>
      <c r="H17" s="10" t="n"/>
      <c r="I17" s="10" t="n"/>
      <c r="J17" s="10" t="n"/>
      <c r="K17" s="11">
        <f>IF(OR(G17="",H17="",H17=0),"",G17/H17*1000)</f>
        <v/>
      </c>
      <c r="L17" s="11">
        <f>IF(OR(G17="",I17="",I17=0),"",G17/I17)</f>
        <v/>
      </c>
      <c r="M17" s="12">
        <f>IF(OR(H17="",J17="",H17=0),"",J17/H17)</f>
        <v/>
      </c>
      <c r="N17" s="13">
        <f>IF(OR(G17="",$G$26=0),"",G17/$G$26)</f>
        <v/>
      </c>
      <c r="O17" s="8" t="n"/>
    </row>
    <row r="18">
      <c r="A18" s="8" t="n"/>
      <c r="B18" s="8" t="n"/>
      <c r="C18" s="8" t="n"/>
      <c r="D18" s="8" t="n"/>
      <c r="E18" s="9" t="n"/>
      <c r="F18" s="9" t="n"/>
      <c r="G18" s="10" t="n"/>
      <c r="H18" s="10" t="n"/>
      <c r="I18" s="10" t="n"/>
      <c r="J18" s="10" t="n"/>
      <c r="K18" s="11">
        <f>IF(OR(G18="",H18="",H18=0),"",G18/H18*1000)</f>
        <v/>
      </c>
      <c r="L18" s="11">
        <f>IF(OR(G18="",I18="",I18=0),"",G18/I18)</f>
        <v/>
      </c>
      <c r="M18" s="12">
        <f>IF(OR(H18="",J18="",H18=0),"",J18/H18)</f>
        <v/>
      </c>
      <c r="N18" s="13">
        <f>IF(OR(G18="",$G$26=0),"",G18/$G$26)</f>
        <v/>
      </c>
      <c r="O18" s="8" t="n"/>
    </row>
    <row r="19">
      <c r="A19" s="8" t="n"/>
      <c r="B19" s="8" t="n"/>
      <c r="C19" s="8" t="n"/>
      <c r="D19" s="8" t="n"/>
      <c r="E19" s="9" t="n"/>
      <c r="F19" s="9" t="n"/>
      <c r="G19" s="10" t="n"/>
      <c r="H19" s="10" t="n"/>
      <c r="I19" s="10" t="n"/>
      <c r="J19" s="10" t="n"/>
      <c r="K19" s="11">
        <f>IF(OR(G19="",H19="",H19=0),"",G19/H19*1000)</f>
        <v/>
      </c>
      <c r="L19" s="11">
        <f>IF(OR(G19="",I19="",I19=0),"",G19/I19)</f>
        <v/>
      </c>
      <c r="M19" s="12">
        <f>IF(OR(H19="",J19="",H19=0),"",J19/H19)</f>
        <v/>
      </c>
      <c r="N19" s="13">
        <f>IF(OR(G19="",$G$26=0),"",G19/$G$26)</f>
        <v/>
      </c>
      <c r="O19" s="8" t="n"/>
    </row>
    <row r="20">
      <c r="A20" s="8" t="n"/>
      <c r="B20" s="8" t="n"/>
      <c r="C20" s="8" t="n"/>
      <c r="D20" s="8" t="n"/>
      <c r="E20" s="9" t="n"/>
      <c r="F20" s="9" t="n"/>
      <c r="G20" s="10" t="n"/>
      <c r="H20" s="10" t="n"/>
      <c r="I20" s="10" t="n"/>
      <c r="J20" s="10" t="n"/>
      <c r="K20" s="11">
        <f>IF(OR(G20="",H20="",H20=0),"",G20/H20*1000)</f>
        <v/>
      </c>
      <c r="L20" s="11">
        <f>IF(OR(G20="",I20="",I20=0),"",G20/I20)</f>
        <v/>
      </c>
      <c r="M20" s="12">
        <f>IF(OR(H20="",J20="",H20=0),"",J20/H20)</f>
        <v/>
      </c>
      <c r="N20" s="13">
        <f>IF(OR(G20="",$G$26=0),"",G20/$G$26)</f>
        <v/>
      </c>
      <c r="O20" s="8" t="n"/>
    </row>
    <row r="21">
      <c r="A21" s="8" t="n"/>
      <c r="B21" s="8" t="n"/>
      <c r="C21" s="8" t="n"/>
      <c r="D21" s="8" t="n"/>
      <c r="E21" s="9" t="n"/>
      <c r="F21" s="9" t="n"/>
      <c r="G21" s="10" t="n"/>
      <c r="H21" s="10" t="n"/>
      <c r="I21" s="10" t="n"/>
      <c r="J21" s="10" t="n"/>
      <c r="K21" s="11">
        <f>IF(OR(G21="",H21="",H21=0),"",G21/H21*1000)</f>
        <v/>
      </c>
      <c r="L21" s="11">
        <f>IF(OR(G21="",I21="",I21=0),"",G21/I21)</f>
        <v/>
      </c>
      <c r="M21" s="12">
        <f>IF(OR(H21="",J21="",H21=0),"",J21/H21)</f>
        <v/>
      </c>
      <c r="N21" s="13">
        <f>IF(OR(G21="",$G$26=0),"",G21/$G$26)</f>
        <v/>
      </c>
      <c r="O21" s="8" t="n"/>
    </row>
    <row r="22">
      <c r="A22" s="8" t="n"/>
      <c r="B22" s="8" t="n"/>
      <c r="C22" s="8" t="n"/>
      <c r="D22" s="8" t="n"/>
      <c r="E22" s="9" t="n"/>
      <c r="F22" s="9" t="n"/>
      <c r="G22" s="10" t="n"/>
      <c r="H22" s="10" t="n"/>
      <c r="I22" s="10" t="n"/>
      <c r="J22" s="10" t="n"/>
      <c r="K22" s="11">
        <f>IF(OR(G22="",H22="",H22=0),"",G22/H22*1000)</f>
        <v/>
      </c>
      <c r="L22" s="11">
        <f>IF(OR(G22="",I22="",I22=0),"",G22/I22)</f>
        <v/>
      </c>
      <c r="M22" s="12">
        <f>IF(OR(H22="",J22="",H22=0),"",J22/H22)</f>
        <v/>
      </c>
      <c r="N22" s="13">
        <f>IF(OR(G22="",$G$26=0),"",G22/$G$26)</f>
        <v/>
      </c>
      <c r="O22" s="8" t="n"/>
    </row>
    <row r="23">
      <c r="A23" s="8" t="n"/>
      <c r="B23" s="8" t="n"/>
      <c r="C23" s="8" t="n"/>
      <c r="D23" s="8" t="n"/>
      <c r="E23" s="9" t="n"/>
      <c r="F23" s="9" t="n"/>
      <c r="G23" s="10" t="n"/>
      <c r="H23" s="10" t="n"/>
      <c r="I23" s="10" t="n"/>
      <c r="J23" s="10" t="n"/>
      <c r="K23" s="11">
        <f>IF(OR(G23="",H23="",H23=0),"",G23/H23*1000)</f>
        <v/>
      </c>
      <c r="L23" s="11">
        <f>IF(OR(G23="",I23="",I23=0),"",G23/I23)</f>
        <v/>
      </c>
      <c r="M23" s="12">
        <f>IF(OR(H23="",J23="",H23=0),"",J23/H23)</f>
        <v/>
      </c>
      <c r="N23" s="13">
        <f>IF(OR(G23="",$G$26=0),"",G23/$G$26)</f>
        <v/>
      </c>
      <c r="O23" s="8" t="n"/>
    </row>
    <row r="24">
      <c r="A24" s="8" t="n"/>
      <c r="B24" s="8" t="n"/>
      <c r="C24" s="8" t="n"/>
      <c r="D24" s="8" t="n"/>
      <c r="E24" s="9" t="n"/>
      <c r="F24" s="9" t="n"/>
      <c r="G24" s="10" t="n"/>
      <c r="H24" s="10" t="n"/>
      <c r="I24" s="10" t="n"/>
      <c r="J24" s="10" t="n"/>
      <c r="K24" s="11">
        <f>IF(OR(G24="",H24="",H24=0),"",G24/H24*1000)</f>
        <v/>
      </c>
      <c r="L24" s="11">
        <f>IF(OR(G24="",I24="",I24=0),"",G24/I24)</f>
        <v/>
      </c>
      <c r="M24" s="12">
        <f>IF(OR(H24="",J24="",H24=0),"",J24/H24)</f>
        <v/>
      </c>
      <c r="N24" s="13">
        <f>IF(OR(G24="",$G$26=0),"",G24/$G$26)</f>
        <v/>
      </c>
      <c r="O24" s="8" t="n"/>
    </row>
    <row r="25">
      <c r="A25" s="8" t="n"/>
      <c r="B25" s="8" t="n"/>
      <c r="C25" s="8" t="n"/>
      <c r="D25" s="8" t="n"/>
      <c r="E25" s="9" t="n"/>
      <c r="F25" s="9" t="n"/>
      <c r="G25" s="10" t="n"/>
      <c r="H25" s="10" t="n"/>
      <c r="I25" s="10" t="n"/>
      <c r="J25" s="10" t="n"/>
      <c r="K25" s="11">
        <f>IF(OR(G25="",H25="",H25=0),"",G25/H25*1000)</f>
        <v/>
      </c>
      <c r="L25" s="11">
        <f>IF(OR(G25="",I25="",I25=0),"",G25/I25)</f>
        <v/>
      </c>
      <c r="M25" s="12">
        <f>IF(OR(H25="",J25="",H25=0),"",J25/H25)</f>
        <v/>
      </c>
      <c r="N25" s="13">
        <f>IF(OR(G25="",$G$26=0),"",G25/$G$26)</f>
        <v/>
      </c>
      <c r="O25" s="8" t="n"/>
    </row>
    <row r="26">
      <c r="A26" s="14" t="inlineStr">
        <is>
          <t>합계</t>
        </is>
      </c>
      <c r="B26" s="14" t="n"/>
      <c r="C26" s="14" t="n"/>
      <c r="D26" s="14" t="n"/>
      <c r="E26" s="14" t="n"/>
      <c r="F26" s="14" t="n"/>
      <c r="G26" s="15">
        <f>SUM(G14:G25)</f>
        <v/>
      </c>
      <c r="H26" s="15">
        <f>SUM(H14:H25)</f>
        <v/>
      </c>
      <c r="I26" s="15">
        <f>SUM(I14:I25)</f>
        <v/>
      </c>
      <c r="J26" s="15">
        <f>SUM(J14:J25)</f>
        <v/>
      </c>
      <c r="K26" s="15">
        <f>IF(H26=0,"",G26/H26*1000)</f>
        <v/>
      </c>
      <c r="L26" s="15">
        <f>IF(I26=0,"",G26/I26)</f>
        <v/>
      </c>
      <c r="M26" s="16">
        <f>IF(H26=0,"",J26/H26)</f>
        <v/>
      </c>
      <c r="N26" s="17">
        <f>IF(G26=0,"",1)</f>
        <v/>
      </c>
      <c r="O26" s="14" t="n"/>
    </row>
    <row r="27">
      <c r="A27" s="2" t="inlineStr">
        <is>
          <t>구분은 지상파·케이블·디지털·CTV·OOH·기타 중 하나로. 회색 칸은 계산식, 예산·노출·조회·클릭만 넣는다.</t>
        </is>
      </c>
    </row>
    <row r="29">
      <c r="A29" s="3" t="inlineStr">
        <is>
          <t>3. 매체 구분별 예산 요약</t>
        </is>
      </c>
    </row>
    <row r="30">
      <c r="A30" s="18" t="inlineStr">
        <is>
          <t>매체 구분</t>
        </is>
      </c>
      <c r="B30" s="18" t="inlineStr">
        <is>
          <t>예산(원)</t>
        </is>
      </c>
      <c r="C30" s="18" t="inlineStr">
        <is>
          <t>비중</t>
        </is>
      </c>
    </row>
    <row r="31">
      <c r="A31" s="8" t="inlineStr">
        <is>
          <t>지상파</t>
        </is>
      </c>
      <c r="B31" s="11">
        <f>SUMIF($A$14:$A$25,A31,$G$14:$G$25)</f>
        <v/>
      </c>
      <c r="C31" s="13">
        <f>IF($G$26=0,"",B31/$G$26)</f>
        <v/>
      </c>
    </row>
    <row r="32">
      <c r="A32" s="8" t="inlineStr">
        <is>
          <t>케이블</t>
        </is>
      </c>
      <c r="B32" s="11">
        <f>SUMIF($A$14:$A$25,A32,$G$14:$G$25)</f>
        <v/>
      </c>
      <c r="C32" s="13">
        <f>IF($G$26=0,"",B32/$G$26)</f>
        <v/>
      </c>
    </row>
    <row r="33">
      <c r="A33" s="8" t="inlineStr">
        <is>
          <t>디지털</t>
        </is>
      </c>
      <c r="B33" s="11">
        <f>SUMIF($A$14:$A$25,A33,$G$14:$G$25)</f>
        <v/>
      </c>
      <c r="C33" s="13">
        <f>IF($G$26=0,"",B33/$G$26)</f>
        <v/>
      </c>
    </row>
    <row r="34">
      <c r="A34" s="8" t="inlineStr">
        <is>
          <t>CTV</t>
        </is>
      </c>
      <c r="B34" s="11">
        <f>SUMIF($A$14:$A$25,A34,$G$14:$G$25)</f>
        <v/>
      </c>
      <c r="C34" s="13">
        <f>IF($G$26=0,"",B34/$G$26)</f>
        <v/>
      </c>
    </row>
    <row r="35">
      <c r="A35" s="8" t="inlineStr">
        <is>
          <t>OOH</t>
        </is>
      </c>
      <c r="B35" s="11">
        <f>SUMIF($A$14:$A$25,A35,$G$14:$G$25)</f>
        <v/>
      </c>
      <c r="C35" s="13">
        <f>IF($G$26=0,"",B35/$G$26)</f>
        <v/>
      </c>
    </row>
    <row r="36">
      <c r="A36" s="8" t="inlineStr">
        <is>
          <t>기타</t>
        </is>
      </c>
      <c r="B36" s="11">
        <f>SUMIF($A$14:$A$25,A36,$G$14:$G$25)</f>
        <v/>
      </c>
      <c r="C36" s="13">
        <f>IF($G$26=0,"",B36/$G$26)</f>
        <v/>
      </c>
    </row>
    <row r="37">
      <c r="A37" s="14" t="inlineStr">
        <is>
          <t>합계</t>
        </is>
      </c>
      <c r="B37" s="15">
        <f>SUM(B31:B36)</f>
        <v/>
      </c>
      <c r="C37" s="14">
        <f>IF(B37=$G$26,"집행 계획 합계와 같음","구분을 확인하세요")</f>
        <v/>
      </c>
    </row>
    <row r="40">
      <c r="A40" s="3" t="inlineStr">
        <is>
          <t>4. 소재 운영</t>
        </is>
      </c>
    </row>
    <row r="41">
      <c r="A41" s="18" t="inlineStr">
        <is>
          <t>소재</t>
        </is>
      </c>
      <c r="B41" s="18" t="inlineStr">
        <is>
          <t>유형</t>
        </is>
      </c>
      <c r="C41" s="18" t="inlineStr">
        <is>
          <t>초수·규격</t>
        </is>
      </c>
      <c r="D41" s="18" t="inlineStr">
        <is>
          <t>운영 비중</t>
        </is>
      </c>
      <c r="E41" s="18" t="inlineStr">
        <is>
          <t>소재 특성·키 메시지</t>
        </is>
      </c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9">
      <c r="A49" s="3" t="inlineStr">
        <is>
          <t>5. 매체별 운영 메모</t>
        </is>
      </c>
    </row>
    <row r="50" ht="30" customHeight="1">
      <c r="A50" s="4" t="inlineStr">
        <is>
          <t>TV</t>
        </is>
      </c>
      <c r="B50" s="5" t="inlineStr">
        <is>
          <t>[TV 운영 메모 — 지상파·케이블 비중, 선호 채널·프로그램]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 ht="30" customHeight="1">
      <c r="A51" s="4" t="inlineStr">
        <is>
          <t>디지털</t>
        </is>
      </c>
      <c r="B51" s="5" t="inlineStr">
        <is>
          <t>[디지털 운영 메모 — 필수 매체, 타깃팅 기준]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 ht="30" customHeight="1">
      <c r="A52" s="4" t="inlineStr">
        <is>
          <t>CTV·OOH</t>
        </is>
      </c>
      <c r="B52" s="5" t="inlineStr">
        <is>
          <t>[CTV·OOH 운영 메모 — 선호 매체·지역]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 ht="30" customHeight="1">
      <c r="A53" s="4" t="inlineStr">
        <is>
          <t>특이 사항</t>
        </is>
      </c>
      <c r="B53" s="5" t="inlineStr">
        <is>
          <t>[운영 특이 사항 — 제외 매체·광고주 요청]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</sheetData>
  <mergeCells count="13">
    <mergeCell ref="B8:E8"/>
    <mergeCell ref="H7:L7"/>
    <mergeCell ref="B50:K50"/>
    <mergeCell ref="B9:K9"/>
    <mergeCell ref="B52:K52"/>
    <mergeCell ref="B53:K53"/>
    <mergeCell ref="B7:E7"/>
    <mergeCell ref="B6:K6"/>
    <mergeCell ref="B5:E5"/>
    <mergeCell ref="H5:L5"/>
    <mergeCell ref="B10:K10"/>
    <mergeCell ref="H8:L8"/>
    <mergeCell ref="B51:K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</cols>
  <sheetData>
    <row r="1">
      <c r="A1" s="19" t="inlineStr">
        <is>
          <t>가정·출처</t>
        </is>
      </c>
    </row>
    <row r="3">
      <c r="A3" s="20" t="inlineStr">
        <is>
          <t>항목</t>
        </is>
      </c>
      <c r="B3" s="20" t="inlineStr">
        <is>
          <t>값·가정</t>
        </is>
      </c>
      <c r="C3" s="20" t="inlineStr">
        <is>
          <t>출처(자료명·날짜)</t>
        </is>
      </c>
    </row>
    <row r="4">
      <c r="A4" s="8" t="n"/>
      <c r="B4" s="8" t="n"/>
      <c r="C4" s="8" t="n"/>
    </row>
    <row r="5">
      <c r="A5" s="8" t="n"/>
      <c r="B5" s="8" t="n"/>
      <c r="C5" s="8" t="n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2026-10-26T10:21:34Z</dcterms:created>
  <dcterms:modified xmlns:dcterms="http://purl.org/dc/terms/" xmlns:xsi="http://www.w3.org/2001/XMLSchema-instance" xsi:type="dcterms:W3CDTF">2026-10-26T10:21:34Z</dcterms:modified>
</cp:coreProperties>
</file>