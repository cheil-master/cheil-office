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미디어 플랜" sheetId="1" state="visible" r:id="rId1"/>
    <sheet xmlns:r="http://schemas.openxmlformats.org/officeDocument/2006/relationships" name="가정·출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맑은 고딕"/>
      <b val="1"/>
      <color rgb="001A1A1A"/>
      <sz val="14"/>
    </font>
    <font>
      <name val="맑은 고딕"/>
      <color rgb="005A5F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sz val="13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3" fontId="4" fillId="3" borderId="1" pivotButton="0" quotePrefix="0" xfId="0"/>
    <xf numFmtId="10" fontId="4" fillId="3" borderId="1" pivotButton="0" quotePrefix="0" xfId="0"/>
    <xf numFmtId="165" fontId="4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5" fontId="5" fillId="3" borderId="1" pivotButton="0" quotePrefix="0" xfId="0"/>
    <xf numFmtId="0" fontId="6" fillId="0" borderId="0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1" customWidth="1" min="8" max="8"/>
    <col width="11" customWidth="1" min="9" max="9"/>
    <col width="9" customWidth="1" min="10" max="10"/>
    <col width="10" customWidth="1" min="11" max="11"/>
    <col width="24" customWidth="1" min="12" max="12"/>
  </cols>
  <sheetData>
    <row r="1" ht="26" customHeight="1">
      <c r="A1" s="1" t="inlineStr">
        <is>
          <t>[광고주명] [캠페인명] 미디어 플랜</t>
        </is>
      </c>
    </row>
    <row r="2">
      <c r="A2" s="2" t="inlineStr">
        <is>
          <t>작성 [날짜] · [팀명] · 숫자는 매체 견적·합의 자료 기준(출처는 '가정·출처' 시트)</t>
        </is>
      </c>
    </row>
    <row r="4">
      <c r="A4" s="3" t="inlineStr">
        <is>
          <t>매체</t>
        </is>
      </c>
      <c r="B4" s="3" t="inlineStr">
        <is>
          <t>상품·지면</t>
        </is>
      </c>
      <c r="C4" s="3" t="inlineStr">
        <is>
          <t>시작일</t>
        </is>
      </c>
      <c r="D4" s="3" t="inlineStr">
        <is>
          <t>종료일</t>
        </is>
      </c>
      <c r="E4" s="3" t="inlineStr">
        <is>
          <t>예산(원)</t>
        </is>
      </c>
      <c r="F4" s="3" t="inlineStr">
        <is>
          <t>예상 노출</t>
        </is>
      </c>
      <c r="G4" s="3" t="inlineStr">
        <is>
          <t>예상 클릭</t>
        </is>
      </c>
      <c r="H4" s="3" t="inlineStr">
        <is>
          <t>CPM(원)</t>
        </is>
      </c>
      <c r="I4" s="3" t="inlineStr">
        <is>
          <t>CPC(원)</t>
        </is>
      </c>
      <c r="J4" s="3" t="inlineStr">
        <is>
          <t>CTR</t>
        </is>
      </c>
      <c r="K4" s="3" t="inlineStr">
        <is>
          <t>예산 비중</t>
        </is>
      </c>
      <c r="L4" s="3" t="inlineStr">
        <is>
          <t>비고</t>
        </is>
      </c>
    </row>
    <row r="5">
      <c r="A5" s="4" t="inlineStr">
        <is>
          <t>[매체]</t>
        </is>
      </c>
      <c r="B5" s="4" t="inlineStr">
        <is>
          <t>[상품·지면]</t>
        </is>
      </c>
      <c r="C5" s="5" t="n"/>
      <c r="D5" s="5" t="n"/>
      <c r="E5" s="6" t="n"/>
      <c r="F5" s="6" t="n"/>
      <c r="G5" s="6" t="n"/>
      <c r="H5" s="7">
        <f>IF(OR(E5="",F5="",F5=0),"",E5/F5*1000)</f>
        <v/>
      </c>
      <c r="I5" s="7">
        <f>IF(OR(E5="",G5="",G5=0),"",E5/G5)</f>
        <v/>
      </c>
      <c r="J5" s="8">
        <f>IF(OR(F5="",G5="",F5=0),"",G5/F5)</f>
        <v/>
      </c>
      <c r="K5" s="9">
        <f>IF(OR(E5="",$E$15=0),"",E5/$E$15)</f>
        <v/>
      </c>
      <c r="L5" s="4" t="n"/>
    </row>
    <row r="6">
      <c r="A6" s="4" t="n"/>
      <c r="B6" s="4" t="n"/>
      <c r="C6" s="5" t="n"/>
      <c r="D6" s="5" t="n"/>
      <c r="E6" s="6" t="n"/>
      <c r="F6" s="6" t="n"/>
      <c r="G6" s="6" t="n"/>
      <c r="H6" s="7">
        <f>IF(OR(E6="",F6="",F6=0),"",E6/F6*1000)</f>
        <v/>
      </c>
      <c r="I6" s="7">
        <f>IF(OR(E6="",G6="",G6=0),"",E6/G6)</f>
        <v/>
      </c>
      <c r="J6" s="8">
        <f>IF(OR(F6="",G6="",F6=0),"",G6/F6)</f>
        <v/>
      </c>
      <c r="K6" s="9">
        <f>IF(OR(E6="",$E$15=0),"",E6/$E$15)</f>
        <v/>
      </c>
      <c r="L6" s="4" t="n"/>
    </row>
    <row r="7">
      <c r="A7" s="4" t="n"/>
      <c r="B7" s="4" t="n"/>
      <c r="C7" s="5" t="n"/>
      <c r="D7" s="5" t="n"/>
      <c r="E7" s="6" t="n"/>
      <c r="F7" s="6" t="n"/>
      <c r="G7" s="6" t="n"/>
      <c r="H7" s="7">
        <f>IF(OR(E7="",F7="",F7=0),"",E7/F7*1000)</f>
        <v/>
      </c>
      <c r="I7" s="7">
        <f>IF(OR(E7="",G7="",G7=0),"",E7/G7)</f>
        <v/>
      </c>
      <c r="J7" s="8">
        <f>IF(OR(F7="",G7="",F7=0),"",G7/F7)</f>
        <v/>
      </c>
      <c r="K7" s="9">
        <f>IF(OR(E7="",$E$15=0),"",E7/$E$15)</f>
        <v/>
      </c>
      <c r="L7" s="4" t="n"/>
    </row>
    <row r="8">
      <c r="A8" s="4" t="n"/>
      <c r="B8" s="4" t="n"/>
      <c r="C8" s="5" t="n"/>
      <c r="D8" s="5" t="n"/>
      <c r="E8" s="6" t="n"/>
      <c r="F8" s="6" t="n"/>
      <c r="G8" s="6" t="n"/>
      <c r="H8" s="7">
        <f>IF(OR(E8="",F8="",F8=0),"",E8/F8*1000)</f>
        <v/>
      </c>
      <c r="I8" s="7">
        <f>IF(OR(E8="",G8="",G8=0),"",E8/G8)</f>
        <v/>
      </c>
      <c r="J8" s="8">
        <f>IF(OR(F8="",G8="",F8=0),"",G8/F8)</f>
        <v/>
      </c>
      <c r="K8" s="9">
        <f>IF(OR(E8="",$E$15=0),"",E8/$E$15)</f>
        <v/>
      </c>
      <c r="L8" s="4" t="n"/>
    </row>
    <row r="9">
      <c r="A9" s="4" t="n"/>
      <c r="B9" s="4" t="n"/>
      <c r="C9" s="5" t="n"/>
      <c r="D9" s="5" t="n"/>
      <c r="E9" s="6" t="n"/>
      <c r="F9" s="6" t="n"/>
      <c r="G9" s="6" t="n"/>
      <c r="H9" s="7">
        <f>IF(OR(E9="",F9="",F9=0),"",E9/F9*1000)</f>
        <v/>
      </c>
      <c r="I9" s="7">
        <f>IF(OR(E9="",G9="",G9=0),"",E9/G9)</f>
        <v/>
      </c>
      <c r="J9" s="8">
        <f>IF(OR(F9="",G9="",F9=0),"",G9/F9)</f>
        <v/>
      </c>
      <c r="K9" s="9">
        <f>IF(OR(E9="",$E$15=0),"",E9/$E$15)</f>
        <v/>
      </c>
      <c r="L9" s="4" t="n"/>
    </row>
    <row r="10">
      <c r="A10" s="4" t="n"/>
      <c r="B10" s="4" t="n"/>
      <c r="C10" s="5" t="n"/>
      <c r="D10" s="5" t="n"/>
      <c r="E10" s="6" t="n"/>
      <c r="F10" s="6" t="n"/>
      <c r="G10" s="6" t="n"/>
      <c r="H10" s="7">
        <f>IF(OR(E10="",F10="",F10=0),"",E10/F10*1000)</f>
        <v/>
      </c>
      <c r="I10" s="7">
        <f>IF(OR(E10="",G10="",G10=0),"",E10/G10)</f>
        <v/>
      </c>
      <c r="J10" s="8">
        <f>IF(OR(F10="",G10="",F10=0),"",G10/F10)</f>
        <v/>
      </c>
      <c r="K10" s="9">
        <f>IF(OR(E10="",$E$15=0),"",E10/$E$15)</f>
        <v/>
      </c>
      <c r="L10" s="4" t="n"/>
    </row>
    <row r="11">
      <c r="A11" s="4" t="n"/>
      <c r="B11" s="4" t="n"/>
      <c r="C11" s="5" t="n"/>
      <c r="D11" s="5" t="n"/>
      <c r="E11" s="6" t="n"/>
      <c r="F11" s="6" t="n"/>
      <c r="G11" s="6" t="n"/>
      <c r="H11" s="7">
        <f>IF(OR(E11="",F11="",F11=0),"",E11/F11*1000)</f>
        <v/>
      </c>
      <c r="I11" s="7">
        <f>IF(OR(E11="",G11="",G11=0),"",E11/G11)</f>
        <v/>
      </c>
      <c r="J11" s="8">
        <f>IF(OR(F11="",G11="",F11=0),"",G11/F11)</f>
        <v/>
      </c>
      <c r="K11" s="9">
        <f>IF(OR(E11="",$E$15=0),"",E11/$E$15)</f>
        <v/>
      </c>
      <c r="L11" s="4" t="n"/>
    </row>
    <row r="12">
      <c r="A12" s="4" t="n"/>
      <c r="B12" s="4" t="n"/>
      <c r="C12" s="5" t="n"/>
      <c r="D12" s="5" t="n"/>
      <c r="E12" s="6" t="n"/>
      <c r="F12" s="6" t="n"/>
      <c r="G12" s="6" t="n"/>
      <c r="H12" s="7">
        <f>IF(OR(E12="",F12="",F12=0),"",E12/F12*1000)</f>
        <v/>
      </c>
      <c r="I12" s="7">
        <f>IF(OR(E12="",G12="",G12=0),"",E12/G12)</f>
        <v/>
      </c>
      <c r="J12" s="8">
        <f>IF(OR(F12="",G12="",F12=0),"",G12/F12)</f>
        <v/>
      </c>
      <c r="K12" s="9">
        <f>IF(OR(E12="",$E$15=0),"",E12/$E$15)</f>
        <v/>
      </c>
      <c r="L12" s="4" t="n"/>
    </row>
    <row r="13">
      <c r="A13" s="4" t="n"/>
      <c r="B13" s="4" t="n"/>
      <c r="C13" s="5" t="n"/>
      <c r="D13" s="5" t="n"/>
      <c r="E13" s="6" t="n"/>
      <c r="F13" s="6" t="n"/>
      <c r="G13" s="6" t="n"/>
      <c r="H13" s="7">
        <f>IF(OR(E13="",F13="",F13=0),"",E13/F13*1000)</f>
        <v/>
      </c>
      <c r="I13" s="7">
        <f>IF(OR(E13="",G13="",G13=0),"",E13/G13)</f>
        <v/>
      </c>
      <c r="J13" s="8">
        <f>IF(OR(F13="",G13="",F13=0),"",G13/F13)</f>
        <v/>
      </c>
      <c r="K13" s="9">
        <f>IF(OR(E13="",$E$15=0),"",E13/$E$15)</f>
        <v/>
      </c>
      <c r="L13" s="4" t="n"/>
    </row>
    <row r="14">
      <c r="A14" s="4" t="n"/>
      <c r="B14" s="4" t="n"/>
      <c r="C14" s="5" t="n"/>
      <c r="D14" s="5" t="n"/>
      <c r="E14" s="6" t="n"/>
      <c r="F14" s="6" t="n"/>
      <c r="G14" s="6" t="n"/>
      <c r="H14" s="7">
        <f>IF(OR(E14="",F14="",F14=0),"",E14/F14*1000)</f>
        <v/>
      </c>
      <c r="I14" s="7">
        <f>IF(OR(E14="",G14="",G14=0),"",E14/G14)</f>
        <v/>
      </c>
      <c r="J14" s="8">
        <f>IF(OR(F14="",G14="",F14=0),"",G14/F14)</f>
        <v/>
      </c>
      <c r="K14" s="9">
        <f>IF(OR(E14="",$E$15=0),"",E14/$E$15)</f>
        <v/>
      </c>
      <c r="L14" s="4" t="n"/>
    </row>
    <row r="15">
      <c r="A15" s="10" t="inlineStr">
        <is>
          <t>합계</t>
        </is>
      </c>
      <c r="B15" s="10" t="n"/>
      <c r="C15" s="10" t="n"/>
      <c r="D15" s="10" t="n"/>
      <c r="E15" s="11">
        <f>SUM(E5:E14)</f>
        <v/>
      </c>
      <c r="F15" s="11">
        <f>SUM(F5:F14)</f>
        <v/>
      </c>
      <c r="G15" s="11">
        <f>SUM(G5:G14)</f>
        <v/>
      </c>
      <c r="H15" s="11">
        <f>IF(F15=0,"",E15/F15*1000)</f>
        <v/>
      </c>
      <c r="I15" s="11">
        <f>IF(G15=0,"",E15/G15)</f>
        <v/>
      </c>
      <c r="J15" s="12">
        <f>IF(F15=0,"",G15/F15)</f>
        <v/>
      </c>
      <c r="K15" s="13">
        <f>IF(E15=0,"",1)</f>
        <v/>
      </c>
      <c r="L15" s="10" t="n"/>
    </row>
    <row r="17">
      <c r="A17" s="2" t="inlineStr">
        <is>
          <t>회색 칸은 계산식. 예산·노출·클릭만 넣는다.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40" customWidth="1" min="3" max="3"/>
  </cols>
  <sheetData>
    <row r="1">
      <c r="A1" s="14" t="inlineStr">
        <is>
          <t>가정·출처</t>
        </is>
      </c>
    </row>
    <row r="3">
      <c r="A3" s="15" t="inlineStr">
        <is>
          <t>항목</t>
        </is>
      </c>
      <c r="B3" s="15" t="inlineStr">
        <is>
          <t>값·가정</t>
        </is>
      </c>
      <c r="C3" s="15" t="inlineStr">
        <is>
          <t>출처(자료명·날짜)</t>
        </is>
      </c>
    </row>
    <row r="4">
      <c r="A4" s="4" t="inlineStr">
        <is>
          <t>[예: 매체 견적]</t>
        </is>
      </c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2026-10-22T19:04:26Z</dcterms:created>
  <dcterms:modified xmlns:dcterms="http://purl.org/dc/terms/" xmlns:xsi="http://www.w3.org/2001/XMLSchema-instance" xsi:type="dcterms:W3CDTF">2026-10-22T19:04:26Z</dcterms:modified>
</cp:coreProperties>
</file>